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Results and Recommendations" sheetId="2" r:id="rId6"/>
    <sheet state="visible" name="The Summary Metrics" sheetId="3" r:id="rId7"/>
    <sheet state="visible" name="The Distribution (Bucketing)" sheetId="4" r:id="rId8"/>
    <sheet state="visible" name="Device Usage Consistency" sheetId="5" r:id="rId9"/>
    <sheet state="visible" name="Hourly Activity" sheetId="6" r:id="rId10"/>
    <sheet state="visible" name="Sleep Stats Summary" sheetId="7" r:id="rId11"/>
    <sheet state="visible" name="Sleep Cerrelation vs Causation" sheetId="8" r:id="rId12"/>
    <sheet state="visible" name="Day-of-Week Activity Metrics" sheetId="9" r:id="rId13"/>
    <sheet state="visible" name="User Segmentation" sheetId="10" r:id="rId14"/>
  </sheets>
  <definedNames/>
  <calcPr/>
</workbook>
</file>

<file path=xl/sharedStrings.xml><?xml version="1.0" encoding="utf-8"?>
<sst xmlns="http://schemas.openxmlformats.org/spreadsheetml/2006/main" count="110" uniqueCount="105">
  <si>
    <t>Smart Devices Trend Analysis Dashboard</t>
  </si>
  <si>
    <t>Category</t>
  </si>
  <si>
    <t>Key Finding (Result)</t>
  </si>
  <si>
    <t>Evidence / Insight</t>
  </si>
  <si>
    <t>Business Recommendation</t>
  </si>
  <si>
    <t>Overall activity level</t>
  </si>
  <si>
    <t>Average daily steps = 6,547; median = 5,893 (right-skewed)</t>
  </si>
  <si>
    <t>Small group of highly active users raises the mean → most users are low–moderate activity</t>
  </si>
  <si>
    <t>Focus messaging on small, achievable step goals and progressive milestones to move median users upward</t>
  </si>
  <si>
    <t>Goal achievement</t>
  </si>
  <si>
    <t>Only 27.79% of recorded days meet the 10,000-step goal</t>
  </si>
  <si>
    <t>Majority of days fall below guideline → motivation/engagement gap</t>
  </si>
  <si>
    <t>Tiered challenges (e.g., 5k, 7.5k badges), streaks &amp; rewards to increase daily goal attainment</t>
  </si>
  <si>
    <t>Activity variability</t>
  </si>
  <si>
    <t>Daily steps range 0 → 28,497</t>
  </si>
  <si>
    <t>Large variation suggests inconsistent wear or lifestyle differences</t>
  </si>
  <si>
    <t>Add onboarding education, reminders, and wear-time tips to improve tracking consistency</t>
  </si>
  <si>
    <t>User engagement consistency</t>
  </si>
  <si>
    <t>Varying counts of active days per user</t>
  </si>
  <si>
    <t>Some users highly engaged; others drop off early</t>
  </si>
  <si>
    <t>Use re-engagement campaigns for low-activity users and retention programs for active users</t>
  </si>
  <si>
    <t>Time-of-day usage</t>
  </si>
  <si>
    <t>Activity peaks in morning &amp; early evening</t>
  </si>
  <si>
    <t>Users most active pre/post work</t>
  </si>
  <si>
    <t>Schedule push notifications and motivational messages during peak windows</t>
  </si>
  <si>
    <t>Weekday vs weekend behavior</t>
  </si>
  <si>
    <t>Users more active on weekends</t>
  </si>
  <si>
    <t>More free time/flexibility on weekends</t>
  </si>
  <si>
    <t>Launch weekend wellness challenges and social sharing to capitalize on higher activity</t>
  </si>
  <si>
    <t>Activity distribution / segmentation</t>
  </si>
  <si>
    <t>Majority of days below 10k steps; small group of power users</t>
  </si>
  <si>
    <t>Most users are low–moderate; power users drive disproportionate activity</t>
  </si>
  <si>
    <t>Segment users (sedentary, moderate, active, power) and personalize messaging per segment</t>
  </si>
  <si>
    <t>Power users</t>
  </si>
  <si>
    <t>Small group contributes disproportionately to total activity</t>
  </si>
  <si>
    <t>High engagement and advocacy potential</t>
  </si>
  <si>
    <t>Recruit power users for testimonials, referrals, beta tests, premium upsell</t>
  </si>
  <si>
    <t>Device non-wear indicators</t>
  </si>
  <si>
    <t>Days with zero steps present</t>
  </si>
  <si>
    <t>Zero-step days likely device non-wear rather than true inactivity</t>
  </si>
  <si>
    <t>Add gentle reminders, wear tips, and non-wear detection prompts to reduce data gaps</t>
  </si>
  <si>
    <t>Sleep quantity</t>
  </si>
  <si>
    <t>Average 3.72 hours sleep/night; time in bed = 4.03 hrs (very low)</t>
  </si>
  <si>
    <t>Users are spending time in bed but getting little sleep — total sleep is critically low</t>
  </si>
  <si>
    <t>Send “Wind Down” bedtime nudges 30 minutes before target bedtime; educate on sleep hygiene</t>
  </si>
  <si>
    <t>Sleep quality (efficiency)</t>
  </si>
  <si>
    <t>Sleep efficiency = 91.24% (high)</t>
  </si>
  <si>
    <t>Once asleep, users stay asleep — problem is sleep duration, not sleep continuity</t>
  </si>
  <si>
    <t>Market Bellabeat as a tool for scheduling/prioritizing rest; focus features on increasing duration</t>
  </si>
  <si>
    <t>Sedentary behavior</t>
  </si>
  <si>
    <t>Negative correlation between sedentary time and sleep (r = -0.19)</t>
  </si>
  <si>
    <t>More sedentary time trends with less total sleep</t>
  </si>
  <si>
    <t>Promote Leaf vibration alerts and activity breaks to reduce sedentary minutes</t>
  </si>
  <si>
    <t>Activity ↔ Sleep link</t>
  </si>
  <si>
    <t>Weak negative correlation between total steps and sleep duration (r = -0.11)</t>
  </si>
  <si>
    <t>Very active users (especially late in day) may see slightly reduced sleep duration</t>
  </si>
  <si>
    <t>Add app content on Active Recovery and guidance about timing/intensity of exercise</t>
  </si>
  <si>
    <t>Overall positioning</t>
  </si>
  <si>
    <t>Moderate engagement with clear improvement opportunities</t>
  </si>
  <si>
    <t>Users engaged but need motivation, education, and personalization</t>
  </si>
  <si>
    <t>Position Bellabeat as a daily wellness companion — bundle sleep + activity coaching, gamification, and targeted nudges</t>
  </si>
  <si>
    <t>Analysis of smart device usage data shows that most users are moderately active, with average daily steps (6,547) falling below recommended activity levels. Only 27.8% of days meet the 10,000-step goal, and engagement varies widely across users. Activity peaks in the morning and evening, with higher engagement on weekends. These trends suggest strong opportunities for personalized nudges, gamified challenges, and bundled sleep-and-activity coaching to increase engagement and membership adoption.</t>
  </si>
  <si>
    <t>Metric</t>
  </si>
  <si>
    <t>Value</t>
  </si>
  <si>
    <t>min_steps</t>
  </si>
  <si>
    <t>max_steps</t>
  </si>
  <si>
    <t>avg_steps</t>
  </si>
  <si>
    <t>median_steps</t>
  </si>
  <si>
    <t>%meeting_goal</t>
  </si>
  <si>
    <r>
      <rPr>
        <rFont val="Roboto"/>
        <b/>
        <color rgb="FF000000"/>
        <sz val="10.0"/>
      </rPr>
      <t>Custom query</t>
    </r>
    <r>
      <rPr>
        <rFont val="Roboto"/>
        <b val="0"/>
        <color rgb="FF000000"/>
        <sz val="10.0"/>
      </rPr>
      <t>: SELECT
  CASE
    WHEN total_steps &lt; 5000 THEN 'Sedentary (&lt;5k)'
    WHEN total_steps &gt;= 5000 AND total_steps &lt; 7500 THEN 'Lightly Active (5k-7.5k)'
    WHEN total_steps &gt;= 7500 AND total_steps &lt; 10000 THEN 'Fairly Active (7.5k-10k)'
    WHEN total_steps &gt;= 10000 THEN 'Highly Active (10k+)'
  END AS activity_category,
  COUNT(*) AS number_of_days
FROM `project-f57ec015-00f5-4842-84d.fitbit_cleaned.daily_activity_cleaned`
GROUP BY activity_category
ORDER BY 
  CASE 
   WHEN activity_category = 'Sedentary (&lt;5k)' THEN 1
   WHEN activity_category = 'Lightly Active (5k-7.5k)' THEN 2
   WHEN activity_category = 'Fairly Active (7.5k-10k)' THEN 3
  ELSE 4 
  END</t>
    </r>
    <r>
      <rPr>
        <rFont val="Roboto"/>
        <b/>
        <color rgb="FF000000"/>
        <sz val="10.0"/>
      </rPr>
      <t xml:space="preserve"> Last updated</t>
    </r>
    <r>
      <rPr>
        <rFont val="Roboto"/>
        <b val="0"/>
        <color rgb="FF000000"/>
        <sz val="10.0"/>
      </rPr>
      <t>: Feb 02, 2026 10:33 AM</t>
    </r>
  </si>
  <si>
    <t>activity_category</t>
  </si>
  <si>
    <t>number_of_days</t>
  </si>
  <si>
    <t>Sedentary (&lt;5k)</t>
  </si>
  <si>
    <t>Lightly Active (5k-7.5k)</t>
  </si>
  <si>
    <t>Fairly Active (7.5k-10k)</t>
  </si>
  <si>
    <t>Highly Active (10k+)</t>
  </si>
  <si>
    <r>
      <rPr>
        <rFont val="Roboto"/>
        <b/>
        <color rgb="FF000000"/>
        <sz val="10.0"/>
      </rPr>
      <t>Custom query</t>
    </r>
    <r>
      <rPr>
        <rFont val="Roboto"/>
        <b val="0"/>
        <color rgb="FF000000"/>
        <sz val="10.0"/>
      </rPr>
      <t xml:space="preserve">: SELECT
id,
COUNT (activity_date) AS active_days
FROM `project-f57ec015-00f5-4842-84d.fitbit_cleaned.daily_activity_cleaned`
GROUP BY id
ORDER BY active_days DESC;
</t>
    </r>
    <r>
      <rPr>
        <rFont val="Roboto"/>
        <b/>
        <color rgb="FF000000"/>
        <sz val="10.0"/>
      </rPr>
      <t xml:space="preserve"> Last updated</t>
    </r>
    <r>
      <rPr>
        <rFont val="Roboto"/>
        <b val="0"/>
        <color rgb="FF000000"/>
        <sz val="10.0"/>
      </rPr>
      <t>: Feb 02, 2026 12:29 PM</t>
    </r>
  </si>
  <si>
    <t>id</t>
  </si>
  <si>
    <t>active_days</t>
  </si>
  <si>
    <r>
      <rPr>
        <rFont val="Roboto"/>
        <b/>
        <color rgb="FF000000"/>
        <sz val="10.0"/>
      </rPr>
      <t>Custom query</t>
    </r>
    <r>
      <rPr>
        <rFont val="Roboto"/>
        <b val="0"/>
        <color rgb="FF000000"/>
        <sz val="10.0"/>
      </rPr>
      <t>: SELECT
 EXTRACT(HOUR FROM PARSE_DATETIME('%Y-%m-%d %H:%M:%S', formatted_activity_hour)) AS hour_of_day,
 ROUND (AVG(steptotal), 2) AS avg_steps
FROM `project-f57ec015-00f5-4842-84d.fitbit_cleaned.hourly_steps_cleaned`
GROUP BY hour_of_day
ORDER BY avg_steps DESC;</t>
    </r>
    <r>
      <rPr>
        <rFont val="Roboto"/>
        <b/>
        <color rgb="FF000000"/>
        <sz val="10.0"/>
      </rPr>
      <t xml:space="preserve"> Last updated</t>
    </r>
    <r>
      <rPr>
        <rFont val="Roboto"/>
        <b val="0"/>
        <color rgb="FF000000"/>
        <sz val="10.0"/>
      </rPr>
      <t>: Feb 02, 2026 1:14 PM</t>
    </r>
  </si>
  <si>
    <t>hour_of_day</t>
  </si>
  <si>
    <t>Metrics</t>
  </si>
  <si>
    <t>avg_sleep_hours</t>
  </si>
  <si>
    <t>avg_bed_hours</t>
  </si>
  <si>
    <t>avg_efficiency</t>
  </si>
  <si>
    <t>corr_steps_vs_sleep</t>
  </si>
  <si>
    <t>corr_active_vs_efficiency</t>
  </si>
  <si>
    <t>corr_sedentary_vs_sleep</t>
  </si>
  <si>
    <r>
      <rPr>
        <rFont val="Roboto"/>
        <b/>
        <color rgb="FF000000"/>
        <sz val="10.0"/>
      </rPr>
      <t>Custom query</t>
    </r>
    <r>
      <rPr>
        <rFont val="Roboto"/>
        <b val="0"/>
        <color rgb="FF000000"/>
        <sz val="10.0"/>
      </rPr>
      <t>: SELECT 
  FORMAT_DATE('%A', activity_date) AS day_of_week,
 ROUND (AVG(total_steps), 2) AS avg_steps,
 ROUND (AVG(very_active_mins), 2) AS avg_active_mins,
 ROUND (AVG(sedentary_mins), 2) AS avg_sedentary_mins
FROM `project-f57ec015-00f5-4842-84d.fitbit_cleaned.daily_activity_cleaned`
GROUP BY day_of_week
ORDER BY 
  CASE 
    WHEN day_of_week = 'Monday' THEN 1
    WHEN day_of_week = 'Tuesday' THEN 2
    WHEN day_of_week = 'Wednesday' THEN 3
    WHEN day_of_week = 'Thursday' THEN 4
    WHEN day_of_week = 'Friday' THEN 5
    WHEN day_of_week = 'Saturday' THEN 6
    WHEN day_of_week = 'Sunday' THEN 7
  END</t>
    </r>
    <r>
      <rPr>
        <rFont val="Roboto"/>
        <b/>
        <color rgb="FF000000"/>
        <sz val="10.0"/>
      </rPr>
      <t xml:space="preserve"> Last updated</t>
    </r>
    <r>
      <rPr>
        <rFont val="Roboto"/>
        <b val="0"/>
        <color rgb="FF000000"/>
        <sz val="10.0"/>
      </rPr>
      <t>: Feb 02, 2026 3:24 PM</t>
    </r>
  </si>
  <si>
    <t>day_of_week</t>
  </si>
  <si>
    <t>avg_active_mins</t>
  </si>
  <si>
    <t>avg_sedentary_mins</t>
  </si>
  <si>
    <t>Monday</t>
  </si>
  <si>
    <t>Tuesday</t>
  </si>
  <si>
    <t>Wednesday</t>
  </si>
  <si>
    <t>Thursday</t>
  </si>
  <si>
    <t>Friday</t>
  </si>
  <si>
    <t>Saturday</t>
  </si>
  <si>
    <t>Sunday</t>
  </si>
  <si>
    <r>
      <rPr>
        <rFont val="Roboto"/>
        <b/>
        <color rgb="FF000000"/>
        <sz val="10.0"/>
      </rPr>
      <t>Custom query</t>
    </r>
    <r>
      <rPr>
        <rFont val="Roboto"/>
        <b val="0"/>
        <color rgb="FF000000"/>
        <sz val="10.0"/>
      </rPr>
      <t xml:space="preserve">: SELECT
  CASE
    WHEN total_steps &lt; 5000 THEN 'Low Activity'
    WHEN total_steps BETWEEN 5000 AND 9999 THEN 'Moderate Activity'
    ELSE 'High Activity'
  END AS activity_level,
  COUNT(*) AS days
FROM `project-f57ec015-00f5-4842-84d.fitbit_cleaned.daily_activity_cleaned`
GROUP BY activity_level;
</t>
    </r>
    <r>
      <rPr>
        <rFont val="Roboto"/>
        <b/>
        <color rgb="FF000000"/>
        <sz val="10.0"/>
      </rPr>
      <t xml:space="preserve"> Last updated</t>
    </r>
    <r>
      <rPr>
        <rFont val="Roboto"/>
        <b val="0"/>
        <color rgb="FF000000"/>
        <sz val="10.0"/>
      </rPr>
      <t>: Feb 02, 2026 4:04 PM</t>
    </r>
  </si>
  <si>
    <t>activity_level</t>
  </si>
  <si>
    <t>days</t>
  </si>
  <si>
    <t>Moderate Activity</t>
  </si>
  <si>
    <t>High Activity</t>
  </si>
  <si>
    <t>Low Activity</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</si>
</sst>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33.0"/>
      <color rgb="FFFFFFFF"/>
      <name val="Georgia"/>
    </font>
    <font>
      <color theme="1"/>
      <name val="Arial"/>
      <scheme val="minor"/>
    </font>
    <font>
      <sz val="45.0"/>
      <color rgb="FFFFFFFF"/>
      <name val="Georgia"/>
    </font>
    <font>
      <color rgb="FF5B0F00"/>
      <name val="Arial"/>
      <scheme val="minor"/>
    </font>
    <font>
      <b/>
      <sz val="11.0"/>
      <color theme="1"/>
      <name val="Georgia"/>
    </font>
    <font>
      <sz val="11.0"/>
      <color theme="1"/>
      <name val="Georgia"/>
    </font>
    <font>
      <sz val="11.0"/>
      <color rgb="FFFFFFFF"/>
      <name val="Georgia"/>
    </font>
    <font>
      <b/>
      <color theme="1"/>
      <name val="Arial"/>
      <scheme val="minor"/>
    </font>
    <font>
      <sz val="10.0"/>
      <color rgb="FF000000"/>
      <name val="Roboto"/>
    </font>
    <font>
      <b/>
      <sz val="11.0"/>
      <color rgb="FF202124"/>
      <name val="Roboto Medium"/>
    </font>
    <font>
      <sz val="10.0"/>
      <color rgb="FF3C4043"/>
      <name val="Roboto"/>
    </font>
  </fonts>
  <fills count="6">
    <fill>
      <patternFill patternType="none"/>
    </fill>
    <fill>
      <patternFill patternType="lightGray"/>
    </fill>
    <fill>
      <patternFill patternType="solid">
        <fgColor rgb="FF5B0F00"/>
        <bgColor rgb="FF5B0F00"/>
      </patternFill>
    </fill>
    <fill>
      <patternFill patternType="solid">
        <fgColor rgb="FFFFFFFF"/>
        <bgColor rgb="FFFFFFFF"/>
      </patternFill>
    </fill>
    <fill>
      <patternFill patternType="solid">
        <fgColor rgb="FFF8F9FA"/>
        <bgColor rgb="FFF8F9FA"/>
      </patternFill>
    </fill>
    <fill>
      <patternFill patternType="solid">
        <fgColor rgb="FFF1F3F4"/>
        <bgColor rgb="FFF1F3F4"/>
      </patternFill>
    </fill>
  </fills>
  <borders count="2">
    <border/>
    <border>
      <left style="thin">
        <color rgb="FFDADCE0"/>
      </left>
      <right style="thin">
        <color rgb="FFDADCE0"/>
      </right>
      <bottom style="thin">
        <color rgb="FFDADCE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Fill="1" applyFont="1"/>
    <xf borderId="0" fillId="0" fontId="3" numFmtId="0" xfId="0" applyAlignment="1" applyFont="1">
      <alignment horizontal="center" readingOrder="0"/>
    </xf>
    <xf borderId="0" fillId="3" fontId="4" numFmtId="0" xfId="0" applyFont="1"/>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0" fontId="8"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3" xfId="0" applyAlignment="1" applyFont="1" applyNumberFormat="1">
      <alignment readingOrder="0" shrinkToFit="0" vertical="center" wrapText="0"/>
    </xf>
    <xf borderId="0" fillId="3" fontId="9" numFmtId="0" xfId="0" applyAlignment="1" applyFill="1" applyFont="1">
      <alignment horizontal="left" readingOrder="0" shrinkToFit="0" vertical="center" wrapText="0"/>
    </xf>
    <xf borderId="1" fillId="4" fontId="10" numFmtId="0" xfId="0" applyAlignment="1" applyBorder="1" applyFill="1" applyFont="1">
      <alignment horizontal="left" readingOrder="0" shrinkToFit="0" vertical="center" wrapText="0"/>
    </xf>
    <xf borderId="0" fillId="3" fontId="11" numFmtId="49" xfId="0" applyAlignment="1" applyFont="1" applyNumberFormat="1">
      <alignment horizontal="left" readingOrder="0" shrinkToFit="0" vertical="top" wrapText="0"/>
    </xf>
    <xf borderId="0" fillId="3" fontId="11" numFmtId="0" xfId="0" applyAlignment="1" applyFont="1">
      <alignment horizontal="right" readingOrder="0" shrinkToFit="0" vertical="top" wrapText="0"/>
    </xf>
    <xf borderId="0" fillId="5" fontId="11" numFmtId="49" xfId="0" applyAlignment="1" applyFill="1" applyFont="1" applyNumberFormat="1">
      <alignment horizontal="left" readingOrder="0" shrinkToFit="0" vertical="top" wrapText="0"/>
    </xf>
    <xf borderId="0" fillId="5" fontId="11" numFmtId="0" xfId="0" applyAlignment="1" applyFont="1">
      <alignment horizontal="right" readingOrder="0" shrinkToFit="0" vertical="top" wrapText="0"/>
    </xf>
  </cellXfs>
  <cellStyles count="1">
    <cellStyle xfId="0" name="Normal" builtinId="0"/>
  </cellStyles>
  <dxfs count="5">
    <dxf>
      <font/>
      <fill>
        <patternFill patternType="none"/>
      </fill>
      <border/>
    </dxf>
    <dxf>
      <font/>
      <fill>
        <patternFill patternType="solid">
          <fgColor rgb="FF5B0F00"/>
          <bgColor rgb="FF5B0F00"/>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0F00"/>
        </left>
        <right style="thin">
          <color rgb="FF5B0F00"/>
        </right>
        <top style="thin">
          <color rgb="FF5B0F00"/>
        </top>
        <bottom style="thin">
          <color rgb="FF5B0F00"/>
        </bottom>
      </border>
    </dxf>
  </dxfs>
  <tableStyles count="4">
    <tableStyle count="4" pivot="0" name="Results and Recommendations-style">
      <tableStyleElement dxfId="1" type="headerRow"/>
      <tableStyleElement dxfId="2" type="firstRowStripe"/>
      <tableStyleElement dxfId="3" type="secondRowStripe"/>
      <tableStyleElement dxfId="4" size="0" type="wholeTable"/>
    </tableStyle>
    <tableStyle count="4" pivot="0" name="The Summary Metrics-style">
      <tableStyleElement dxfId="1" type="headerRow"/>
      <tableStyleElement dxfId="2" type="firstRowStripe"/>
      <tableStyleElement dxfId="3" type="secondRowStripe"/>
      <tableStyleElement dxfId="4" size="0" type="wholeTable"/>
    </tableStyle>
    <tableStyle count="4" pivot="0" name="Sleep Stats Summary-style">
      <tableStyleElement dxfId="1" type="headerRow"/>
      <tableStyleElement dxfId="2" type="firstRowStripe"/>
      <tableStyleElement dxfId="3" type="secondRowStripe"/>
      <tableStyleElement dxfId="4" size="0" type="wholeTable"/>
    </tableStyle>
    <tableStyle count="4" pivot="0" name="Sleep Cerrelation vs Caus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Georgia"/>
              </a:defRPr>
            </a:pPr>
            <a:r>
              <a:rPr b="1">
                <a:solidFill>
                  <a:srgbClr val="000000"/>
                </a:solidFill>
                <a:latin typeface="Georgia"/>
              </a:rPr>
              <a:t>Activity–Sleep Correlation Metrics</a:t>
            </a:r>
          </a:p>
        </c:rich>
      </c:tx>
      <c:overlay val="0"/>
    </c:title>
    <c:plotArea>
      <c:layout/>
      <c:areaChart>
        <c:ser>
          <c:idx val="0"/>
          <c:order val="0"/>
          <c:tx>
            <c:strRef>
              <c:f>'Sleep Cerrelation vs Causation'!$B$1</c:f>
            </c:strRef>
          </c:tx>
          <c:spPr>
            <a:solidFill>
              <a:srgbClr val="5B0F00">
                <a:alpha val="30000"/>
              </a:srgbClr>
            </a:solidFill>
            <a:ln cmpd="sng">
              <a:solidFill>
                <a:srgbClr val="5B0F00">
                  <a:alpha val="100000"/>
                </a:srgbClr>
              </a:solidFill>
            </a:ln>
          </c:spPr>
          <c:dLbls>
            <c:numFmt formatCode="General" sourceLinked="1"/>
            <c:txPr>
              <a:bodyPr/>
              <a:lstStyle/>
              <a:p>
                <a:pPr lvl="0">
                  <a:defRPr>
                    <a:latin typeface="Georgia"/>
                  </a:defRPr>
                </a:pPr>
              </a:p>
            </c:txPr>
            <c:showLegendKey val="0"/>
            <c:showVal val="1"/>
            <c:showCatName val="0"/>
            <c:showSerName val="0"/>
            <c:showPercent val="0"/>
            <c:showBubbleSize val="0"/>
          </c:dLbls>
          <c:cat>
            <c:strRef>
              <c:f>'Sleep Cerrelation vs Causation'!$A$2:$A$4</c:f>
            </c:strRef>
          </c:cat>
          <c:val>
            <c:numRef>
              <c:f>'Sleep Cerrelation vs Causation'!$B$2:$B$4</c:f>
              <c:numCache/>
            </c:numRef>
          </c:val>
        </c:ser>
        <c:axId val="240584182"/>
        <c:axId val="1122370302"/>
      </c:areaChart>
      <c:catAx>
        <c:axId val="240584182"/>
        <c:scaling>
          <c:orientation val="minMax"/>
        </c:scaling>
        <c:delete val="0"/>
        <c:axPos val="b"/>
        <c:title>
          <c:tx>
            <c:rich>
              <a:bodyPr/>
              <a:lstStyle/>
              <a:p>
                <a:pPr lvl="0">
                  <a:defRPr b="0">
                    <a:solidFill>
                      <a:srgbClr val="000000"/>
                    </a:solidFill>
                    <a:latin typeface="Georgia"/>
                  </a:defRPr>
                </a:pPr>
                <a:r>
                  <a:rPr b="0">
                    <a:solidFill>
                      <a:srgbClr val="000000"/>
                    </a:solidFill>
                    <a:latin typeface="Georgia"/>
                  </a:rPr>
                  <a:t/>
                </a:r>
              </a:p>
            </c:rich>
          </c:tx>
          <c:overlay val="0"/>
        </c:title>
        <c:numFmt formatCode="General" sourceLinked="1"/>
        <c:majorTickMark val="none"/>
        <c:minorTickMark val="none"/>
        <c:spPr/>
        <c:txPr>
          <a:bodyPr/>
          <a:lstStyle/>
          <a:p>
            <a:pPr lvl="0">
              <a:defRPr b="0">
                <a:solidFill>
                  <a:srgbClr val="000000"/>
                </a:solidFill>
                <a:latin typeface="Georgia"/>
              </a:defRPr>
            </a:pPr>
          </a:p>
        </c:txPr>
        <c:crossAx val="1122370302"/>
      </c:catAx>
      <c:valAx>
        <c:axId val="11223703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b="0">
                    <a:solidFill>
                      <a:srgbClr val="000000"/>
                    </a:solidFill>
                    <a:latin typeface="Georgia"/>
                  </a:rPr>
                  <a:t/>
                </a:r>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p>
        </c:txPr>
        <c:crossAx val="240584182"/>
      </c:valAx>
    </c:plotArea>
    <c:legend>
      <c:legendPos val="r"/>
      <c:overlay val="0"/>
      <c:txPr>
        <a:bodyPr/>
        <a:lstStyle/>
        <a:p>
          <a:pPr lvl="0">
            <a:defRPr b="0">
              <a:solidFill>
                <a:srgbClr val="1A1A1A"/>
              </a:solidFill>
              <a:latin typeface="Georgia"/>
            </a:defRPr>
          </a:pPr>
        </a:p>
      </c:txPr>
    </c:legend>
    <c:plotVisOnly val="1"/>
  </c:chart>
  <c:spPr>
    <a:solidFill>
      <a:srgbClr val="D9D9D9"/>
    </a:solidFill>
  </c:spPr>
</c:chartSpace>
</file>

<file path=xl/drawings/_rels/drawing1.xml.rels><?xml version="1.0" encoding="UTF-8" standalone="yes"?><Relationships xmlns="http://schemas.openxmlformats.org/package/2006/relationships"><Relationship Id="rId11" Type="http://schemas.openxmlformats.org/officeDocument/2006/relationships/chart" Target="../charts/chart1.xml"/><Relationship Id="rId10" Type="http://schemas.openxmlformats.org/officeDocument/2006/relationships/image" Target="../media/Chart10.png"/><Relationship Id="rId13" Type="http://schemas.openxmlformats.org/officeDocument/2006/relationships/image" Target="../media/Chart13.png"/><Relationship Id="rId12" Type="http://schemas.openxmlformats.org/officeDocument/2006/relationships/image" Target="../media/Chart12.png"/><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9" Type="http://schemas.openxmlformats.org/officeDocument/2006/relationships/image" Target="../media/Chart9.png"/><Relationship Id="rId15" Type="http://schemas.openxmlformats.org/officeDocument/2006/relationships/image" Target="../media/Chart15.png"/><Relationship Id="rId14" Type="http://schemas.openxmlformats.org/officeDocument/2006/relationships/image" Target="../media/Chart14.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190500</xdr:rowOff>
    </xdr:from>
    <xdr:ext cx="5715000" cy="3533775"/>
    <xdr:pic>
      <xdr:nvPicPr>
        <xdr:cNvPr id="50191214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200025</xdr:colOff>
      <xdr:row>2</xdr:row>
      <xdr:rowOff>190500</xdr:rowOff>
    </xdr:from>
    <xdr:ext cx="3600450" cy="3533775"/>
    <xdr:pic>
      <xdr:nvPicPr>
        <xdr:cNvPr id="191269900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895350</xdr:colOff>
      <xdr:row>2</xdr:row>
      <xdr:rowOff>190500</xdr:rowOff>
    </xdr:from>
    <xdr:ext cx="3152775" cy="1762125"/>
    <xdr:pic>
      <xdr:nvPicPr>
        <xdr:cNvPr id="326868652"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895350</xdr:colOff>
      <xdr:row>11</xdr:row>
      <xdr:rowOff>114300</xdr:rowOff>
    </xdr:from>
    <xdr:ext cx="3152775" cy="1781175"/>
    <xdr:pic>
      <xdr:nvPicPr>
        <xdr:cNvPr id="471863255"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695325</xdr:colOff>
      <xdr:row>44</xdr:row>
      <xdr:rowOff>142875</xdr:rowOff>
    </xdr:from>
    <xdr:ext cx="3362325" cy="771525"/>
    <xdr:pic>
      <xdr:nvPicPr>
        <xdr:cNvPr id="198230694"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762000</xdr:colOff>
      <xdr:row>20</xdr:row>
      <xdr:rowOff>66675</xdr:rowOff>
    </xdr:from>
    <xdr:ext cx="5934075" cy="3533775"/>
    <xdr:pic>
      <xdr:nvPicPr>
        <xdr:cNvPr id="162693394"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20</xdr:row>
      <xdr:rowOff>66675</xdr:rowOff>
    </xdr:from>
    <xdr:ext cx="6553200" cy="3533775"/>
    <xdr:pic>
      <xdr:nvPicPr>
        <xdr:cNvPr id="1775876687"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695325</xdr:colOff>
      <xdr:row>37</xdr:row>
      <xdr:rowOff>142875</xdr:rowOff>
    </xdr:from>
    <xdr:ext cx="3362325" cy="1409700"/>
    <xdr:pic>
      <xdr:nvPicPr>
        <xdr:cNvPr id="1213665220"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695325</xdr:colOff>
      <xdr:row>48</xdr:row>
      <xdr:rowOff>95250</xdr:rowOff>
    </xdr:from>
    <xdr:ext cx="3362325" cy="1333500"/>
    <xdr:pic>
      <xdr:nvPicPr>
        <xdr:cNvPr id="821819894"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37</xdr:row>
      <xdr:rowOff>133350</xdr:rowOff>
    </xdr:from>
    <xdr:ext cx="3590925" cy="3533775"/>
    <xdr:pic>
      <xdr:nvPicPr>
        <xdr:cNvPr id="1678319911" name="Chart1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219075</xdr:colOff>
      <xdr:row>37</xdr:row>
      <xdr:rowOff>152400</xdr:rowOff>
    </xdr:from>
    <xdr:ext cx="5514975" cy="3448050"/>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0</xdr:colOff>
      <xdr:row>55</xdr:row>
      <xdr:rowOff>9525</xdr:rowOff>
    </xdr:from>
    <xdr:ext cx="6372225" cy="3533775"/>
    <xdr:pic>
      <xdr:nvPicPr>
        <xdr:cNvPr id="1188695356" name="Chart12" title="Chart">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581025</xdr:colOff>
      <xdr:row>55</xdr:row>
      <xdr:rowOff>9525</xdr:rowOff>
    </xdr:from>
    <xdr:ext cx="6115050" cy="3533775"/>
    <xdr:pic>
      <xdr:nvPicPr>
        <xdr:cNvPr id="675430353" name="Chart13"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72</xdr:row>
      <xdr:rowOff>190500</xdr:rowOff>
    </xdr:from>
    <xdr:ext cx="6172200" cy="3533775"/>
    <xdr:pic>
      <xdr:nvPicPr>
        <xdr:cNvPr id="644773950" name="Chart14" title="Chart">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419100</xdr:colOff>
      <xdr:row>72</xdr:row>
      <xdr:rowOff>190500</xdr:rowOff>
    </xdr:from>
    <xdr:ext cx="6276975" cy="3533775"/>
    <xdr:pic>
      <xdr:nvPicPr>
        <xdr:cNvPr id="876441304" name="Chart15" title="Chart">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5" displayName="Conclusion" name="Conclusion" id="1">
  <tableColumns count="4">
    <tableColumn name="Category" id="1"/>
    <tableColumn name="Key Finding (Result)" id="2"/>
    <tableColumn name="Evidence / Insight" id="3"/>
    <tableColumn name="Business Recommendation" id="4"/>
  </tableColumns>
  <tableStyleInfo name="Results and Recommendations-style" showColumnStripes="0" showFirstColumn="1" showLastColumn="1" showRowStripes="1"/>
</table>
</file>

<file path=xl/tables/table2.xml><?xml version="1.0" encoding="utf-8"?>
<table xmlns="http://schemas.openxmlformats.org/spreadsheetml/2006/main" ref="A1:B6" displayName="Table1" name="Table1" id="2">
  <tableColumns count="2">
    <tableColumn name="Metric" id="1"/>
    <tableColumn name="Value" id="2"/>
  </tableColumns>
  <tableStyleInfo name="The Summary Metrics-style" showColumnStripes="0" showFirstColumn="1" showLastColumn="1" showRowStripes="1"/>
</table>
</file>

<file path=xl/tables/table3.xml><?xml version="1.0" encoding="utf-8"?>
<table xmlns="http://schemas.openxmlformats.org/spreadsheetml/2006/main" ref="A1:B4" displayName="Table3" name="Table3" id="3">
  <tableColumns count="2">
    <tableColumn name="Metrics" id="1"/>
    <tableColumn name="Value" id="2"/>
  </tableColumns>
  <tableStyleInfo name="Sleep Stats Summary-style" showColumnStripes="0" showFirstColumn="1" showLastColumn="1" showRowStripes="1"/>
</table>
</file>

<file path=xl/tables/table4.xml><?xml version="1.0" encoding="utf-8"?>
<table xmlns="http://schemas.openxmlformats.org/spreadsheetml/2006/main" ref="A1:B4" displayName="Table2" name="Table2" id="4">
  <tableColumns count="2">
    <tableColumn name="Metrics" id="1"/>
    <tableColumn name="Value" id="2"/>
  </tableColumns>
  <tableStyleInfo name="Sleep Cerrelation vs Caus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t="s">
        <v>0</v>
      </c>
      <c r="N1" s="2"/>
      <c r="O1" s="2"/>
      <c r="P1" s="2"/>
      <c r="Q1" s="2"/>
      <c r="R1" s="2"/>
      <c r="S1" s="2"/>
      <c r="T1" s="2"/>
      <c r="U1" s="2"/>
      <c r="V1" s="2"/>
      <c r="W1" s="2"/>
      <c r="X1" s="2"/>
      <c r="Y1" s="2"/>
      <c r="Z1" s="2"/>
    </row>
    <row r="2">
      <c r="N2" s="2"/>
      <c r="O2" s="2"/>
      <c r="P2" s="2"/>
      <c r="Q2" s="2"/>
      <c r="R2" s="2"/>
      <c r="S2" s="2"/>
      <c r="T2" s="2"/>
      <c r="U2" s="2"/>
      <c r="V2" s="2"/>
      <c r="W2" s="2"/>
      <c r="X2" s="2"/>
      <c r="Y2" s="2"/>
      <c r="Z2" s="2"/>
    </row>
    <row r="3">
      <c r="N3" s="2"/>
      <c r="O3" s="2"/>
      <c r="P3" s="2"/>
      <c r="Q3" s="2"/>
      <c r="R3" s="2"/>
      <c r="S3" s="2"/>
      <c r="T3" s="2"/>
      <c r="U3" s="2"/>
      <c r="V3" s="2"/>
      <c r="W3" s="2"/>
      <c r="X3" s="2"/>
      <c r="Y3" s="2"/>
      <c r="Z3" s="2"/>
    </row>
    <row r="4">
      <c r="A4" s="3"/>
      <c r="B4" s="3"/>
      <c r="C4" s="3"/>
      <c r="D4" s="3"/>
      <c r="E4" s="3"/>
      <c r="F4" s="3"/>
      <c r="G4" s="3"/>
      <c r="H4" s="3"/>
      <c r="I4" s="3"/>
      <c r="J4" s="3"/>
      <c r="K4" s="3"/>
      <c r="L4" s="3"/>
    </row>
    <row r="5">
      <c r="A5" s="3"/>
      <c r="B5" s="3"/>
      <c r="C5" s="3"/>
      <c r="D5" s="3"/>
      <c r="E5" s="3"/>
      <c r="F5" s="3"/>
      <c r="G5" s="3"/>
      <c r="H5" s="3"/>
      <c r="I5" s="3"/>
      <c r="J5" s="3"/>
      <c r="K5" s="3"/>
      <c r="L5" s="3"/>
    </row>
    <row r="6">
      <c r="A6" s="3"/>
      <c r="B6" s="3"/>
      <c r="C6" s="3"/>
      <c r="D6" s="3"/>
      <c r="E6" s="3"/>
      <c r="F6" s="3"/>
      <c r="G6" s="3"/>
      <c r="H6" s="3"/>
      <c r="I6" s="3"/>
      <c r="J6" s="3"/>
      <c r="K6" s="3"/>
      <c r="L6" s="3"/>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4"/>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M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19.38"/>
    <col customWidth="1" min="3" max="3" width="22.38"/>
    <col customWidth="1" min="4" max="4" width="29.5"/>
  </cols>
  <sheetData>
    <row r="1" ht="22.5" customHeight="1">
      <c r="A1" s="5" t="s">
        <v>1</v>
      </c>
      <c r="B1" s="5" t="s">
        <v>2</v>
      </c>
      <c r="C1" s="5" t="s">
        <v>3</v>
      </c>
      <c r="D1" s="5" t="s">
        <v>4</v>
      </c>
    </row>
    <row r="2" ht="22.5" customHeight="1">
      <c r="A2" s="6" t="s">
        <v>5</v>
      </c>
      <c r="B2" s="6" t="s">
        <v>6</v>
      </c>
      <c r="C2" s="6" t="s">
        <v>7</v>
      </c>
      <c r="D2" s="6" t="s">
        <v>8</v>
      </c>
    </row>
    <row r="3" ht="22.5" customHeight="1">
      <c r="A3" s="6" t="s">
        <v>9</v>
      </c>
      <c r="B3" s="6" t="s">
        <v>10</v>
      </c>
      <c r="C3" s="6" t="s">
        <v>11</v>
      </c>
      <c r="D3" s="6" t="s">
        <v>12</v>
      </c>
    </row>
    <row r="4" ht="22.5" customHeight="1">
      <c r="A4" s="6" t="s">
        <v>13</v>
      </c>
      <c r="B4" s="6" t="s">
        <v>14</v>
      </c>
      <c r="C4" s="6" t="s">
        <v>15</v>
      </c>
      <c r="D4" s="6" t="s">
        <v>16</v>
      </c>
    </row>
    <row r="5" ht="22.5" customHeight="1">
      <c r="A5" s="6" t="s">
        <v>17</v>
      </c>
      <c r="B5" s="6" t="s">
        <v>18</v>
      </c>
      <c r="C5" s="6" t="s">
        <v>19</v>
      </c>
      <c r="D5" s="6" t="s">
        <v>20</v>
      </c>
    </row>
    <row r="6" ht="22.5" customHeight="1">
      <c r="A6" s="6" t="s">
        <v>21</v>
      </c>
      <c r="B6" s="6" t="s">
        <v>22</v>
      </c>
      <c r="C6" s="6" t="s">
        <v>23</v>
      </c>
      <c r="D6" s="6" t="s">
        <v>24</v>
      </c>
    </row>
    <row r="7" ht="22.5" customHeight="1">
      <c r="A7" s="6" t="s">
        <v>25</v>
      </c>
      <c r="B7" s="6" t="s">
        <v>26</v>
      </c>
      <c r="C7" s="6" t="s">
        <v>27</v>
      </c>
      <c r="D7" s="6" t="s">
        <v>28</v>
      </c>
    </row>
    <row r="8" ht="22.5" customHeight="1">
      <c r="A8" s="6" t="s">
        <v>29</v>
      </c>
      <c r="B8" s="6" t="s">
        <v>30</v>
      </c>
      <c r="C8" s="6" t="s">
        <v>31</v>
      </c>
      <c r="D8" s="6" t="s">
        <v>32</v>
      </c>
    </row>
    <row r="9" ht="22.5" customHeight="1">
      <c r="A9" s="6" t="s">
        <v>33</v>
      </c>
      <c r="B9" s="6" t="s">
        <v>34</v>
      </c>
      <c r="C9" s="6" t="s">
        <v>35</v>
      </c>
      <c r="D9" s="6" t="s">
        <v>36</v>
      </c>
    </row>
    <row r="10" ht="22.5" customHeight="1">
      <c r="A10" s="6" t="s">
        <v>37</v>
      </c>
      <c r="B10" s="6" t="s">
        <v>38</v>
      </c>
      <c r="C10" s="6" t="s">
        <v>39</v>
      </c>
      <c r="D10" s="6" t="s">
        <v>40</v>
      </c>
    </row>
    <row r="11" ht="22.5" customHeight="1">
      <c r="A11" s="6" t="s">
        <v>41</v>
      </c>
      <c r="B11" s="6" t="s">
        <v>42</v>
      </c>
      <c r="C11" s="6" t="s">
        <v>43</v>
      </c>
      <c r="D11" s="6" t="s">
        <v>44</v>
      </c>
    </row>
    <row r="12" ht="22.5" customHeight="1">
      <c r="A12" s="6" t="s">
        <v>45</v>
      </c>
      <c r="B12" s="6" t="s">
        <v>46</v>
      </c>
      <c r="C12" s="6" t="s">
        <v>47</v>
      </c>
      <c r="D12" s="6" t="s">
        <v>48</v>
      </c>
    </row>
    <row r="13" ht="22.5" customHeight="1">
      <c r="A13" s="6" t="s">
        <v>49</v>
      </c>
      <c r="B13" s="6" t="s">
        <v>50</v>
      </c>
      <c r="C13" s="6" t="s">
        <v>51</v>
      </c>
      <c r="D13" s="6" t="s">
        <v>52</v>
      </c>
    </row>
    <row r="14" ht="22.5" customHeight="1">
      <c r="A14" s="6" t="s">
        <v>53</v>
      </c>
      <c r="B14" s="6" t="s">
        <v>54</v>
      </c>
      <c r="C14" s="6" t="s">
        <v>55</v>
      </c>
      <c r="D14" s="6" t="s">
        <v>56</v>
      </c>
    </row>
    <row r="15" ht="22.5" customHeight="1">
      <c r="A15" s="6" t="s">
        <v>57</v>
      </c>
      <c r="B15" s="6" t="s">
        <v>58</v>
      </c>
      <c r="C15" s="6" t="s">
        <v>59</v>
      </c>
      <c r="D15" s="6" t="s">
        <v>60</v>
      </c>
    </row>
    <row r="17">
      <c r="A17" s="7" t="s">
        <v>61</v>
      </c>
    </row>
  </sheetData>
  <mergeCells count="1">
    <mergeCell ref="A17:E21"/>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s>
  <sheetData>
    <row r="1" ht="22.5" customHeight="1">
      <c r="A1" s="8" t="s">
        <v>62</v>
      </c>
      <c r="B1" s="8" t="s">
        <v>63</v>
      </c>
    </row>
    <row r="2" ht="22.5" customHeight="1">
      <c r="A2" s="9" t="s">
        <v>64</v>
      </c>
      <c r="B2" s="10">
        <v>0.0</v>
      </c>
    </row>
    <row r="3" ht="22.5" customHeight="1">
      <c r="A3" s="9" t="s">
        <v>65</v>
      </c>
      <c r="B3" s="10">
        <v>28497.0</v>
      </c>
    </row>
    <row r="4" ht="22.5" customHeight="1">
      <c r="A4" s="9" t="s">
        <v>66</v>
      </c>
      <c r="B4" s="10">
        <v>6547.0</v>
      </c>
    </row>
    <row r="5" ht="22.5" customHeight="1">
      <c r="A5" s="9" t="s">
        <v>67</v>
      </c>
      <c r="B5" s="10">
        <v>5893.0</v>
      </c>
    </row>
    <row r="6" ht="22.5" customHeight="1">
      <c r="A6" s="9" t="s">
        <v>68</v>
      </c>
      <c r="B6" s="9">
        <v>27.79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customWidth="1" min="1" max="1" width="18.75"/>
    <col customWidth="1" min="2" max="2" width="18.38"/>
  </cols>
  <sheetData>
    <row r="1" ht="36.0">
      <c r="A1" s="11" t="s">
        <v>69</v>
      </c>
    </row>
    <row r="2">
      <c r="A2" s="12" t="s">
        <v>70</v>
      </c>
      <c r="B2" s="12" t="s">
        <v>71</v>
      </c>
    </row>
    <row r="3">
      <c r="A3" s="13" t="s">
        <v>72</v>
      </c>
      <c r="B3" s="14">
        <v>197.0</v>
      </c>
    </row>
    <row r="4">
      <c r="A4" s="15" t="s">
        <v>73</v>
      </c>
      <c r="B4" s="16">
        <v>83.0</v>
      </c>
    </row>
    <row r="5">
      <c r="A5" s="13" t="s">
        <v>74</v>
      </c>
      <c r="B5" s="14">
        <v>50.0</v>
      </c>
    </row>
    <row r="6">
      <c r="A6" s="15" t="s">
        <v>75</v>
      </c>
      <c r="B6" s="16">
        <v>127.0</v>
      </c>
    </row>
  </sheetData>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min="1" max="1" width="15.13"/>
    <col customWidth="1" min="2" max="2" width="14.13"/>
  </cols>
  <sheetData>
    <row r="1" ht="36.0">
      <c r="A1" s="11" t="s">
        <v>76</v>
      </c>
    </row>
    <row r="2">
      <c r="A2" s="12" t="s">
        <v>77</v>
      </c>
      <c r="B2" s="12" t="s">
        <v>78</v>
      </c>
    </row>
    <row r="3">
      <c r="A3" s="14">
        <v>4.02033265E9</v>
      </c>
      <c r="B3" s="14">
        <v>32.0</v>
      </c>
    </row>
    <row r="4">
      <c r="A4" s="16">
        <v>4.057192912E9</v>
      </c>
      <c r="B4" s="16">
        <v>32.0</v>
      </c>
    </row>
    <row r="5">
      <c r="A5" s="14">
        <v>1.624580081E9</v>
      </c>
      <c r="B5" s="14">
        <v>19.0</v>
      </c>
    </row>
    <row r="6">
      <c r="A6" s="16">
        <v>1.503960366E9</v>
      </c>
      <c r="B6" s="16">
        <v>19.0</v>
      </c>
    </row>
    <row r="7">
      <c r="A7" s="14">
        <v>4.445114986E9</v>
      </c>
      <c r="B7" s="14">
        <v>15.0</v>
      </c>
    </row>
    <row r="8">
      <c r="A8" s="16">
        <v>2.347167796E9</v>
      </c>
      <c r="B8" s="16">
        <v>15.0</v>
      </c>
    </row>
    <row r="9">
      <c r="A9" s="14">
        <v>4.702921684E9</v>
      </c>
      <c r="B9" s="14">
        <v>15.0</v>
      </c>
    </row>
    <row r="10">
      <c r="A10" s="16">
        <v>6.962181067E9</v>
      </c>
      <c r="B10" s="16">
        <v>14.0</v>
      </c>
    </row>
    <row r="11">
      <c r="A11" s="14">
        <v>4.319703577E9</v>
      </c>
      <c r="B11" s="14">
        <v>12.0</v>
      </c>
    </row>
    <row r="12">
      <c r="A12" s="16">
        <v>8.877689391E9</v>
      </c>
      <c r="B12" s="16">
        <v>12.0</v>
      </c>
    </row>
    <row r="13">
      <c r="A13" s="14">
        <v>2.873212765E9</v>
      </c>
      <c r="B13" s="14">
        <v>12.0</v>
      </c>
    </row>
    <row r="14">
      <c r="A14" s="16">
        <v>5.553957443E9</v>
      </c>
      <c r="B14" s="16">
        <v>12.0</v>
      </c>
    </row>
    <row r="15">
      <c r="A15" s="14">
        <v>3.977333714E9</v>
      </c>
      <c r="B15" s="14">
        <v>12.0</v>
      </c>
    </row>
    <row r="16">
      <c r="A16" s="16">
        <v>1.844505072E9</v>
      </c>
      <c r="B16" s="16">
        <v>12.0</v>
      </c>
    </row>
    <row r="17">
      <c r="A17" s="14">
        <v>8.253242879E9</v>
      </c>
      <c r="B17" s="14">
        <v>12.0</v>
      </c>
    </row>
    <row r="18">
      <c r="A18" s="16">
        <v>2.026352035E9</v>
      </c>
      <c r="B18" s="16">
        <v>12.0</v>
      </c>
    </row>
    <row r="19">
      <c r="A19" s="14">
        <v>7.007744171E9</v>
      </c>
      <c r="B19" s="14">
        <v>12.0</v>
      </c>
    </row>
    <row r="20">
      <c r="A20" s="16">
        <v>8.792009665E9</v>
      </c>
      <c r="B20" s="16">
        <v>12.0</v>
      </c>
    </row>
    <row r="21">
      <c r="A21" s="14">
        <v>1.927972279E9</v>
      </c>
      <c r="B21" s="14">
        <v>12.0</v>
      </c>
    </row>
    <row r="22">
      <c r="A22" s="16">
        <v>2.022484408E9</v>
      </c>
      <c r="B22" s="16">
        <v>12.0</v>
      </c>
    </row>
    <row r="23">
      <c r="A23" s="14">
        <v>2.320127002E9</v>
      </c>
      <c r="B23" s="14">
        <v>12.0</v>
      </c>
    </row>
    <row r="24">
      <c r="A24" s="16">
        <v>4.558609924E9</v>
      </c>
      <c r="B24" s="16">
        <v>12.0</v>
      </c>
    </row>
    <row r="25">
      <c r="A25" s="14">
        <v>8.3785632E9</v>
      </c>
      <c r="B25" s="14">
        <v>12.0</v>
      </c>
    </row>
    <row r="26">
      <c r="A26" s="16">
        <v>7.086361926E9</v>
      </c>
      <c r="B26" s="16">
        <v>12.0</v>
      </c>
    </row>
    <row r="27">
      <c r="A27" s="14">
        <v>8.053475328E9</v>
      </c>
      <c r="B27" s="14">
        <v>11.0</v>
      </c>
    </row>
    <row r="28">
      <c r="A28" s="16">
        <v>5.577150313E9</v>
      </c>
      <c r="B28" s="16">
        <v>11.0</v>
      </c>
    </row>
    <row r="29">
      <c r="A29" s="14">
        <v>6.290855005E9</v>
      </c>
      <c r="B29" s="14">
        <v>10.0</v>
      </c>
    </row>
    <row r="30">
      <c r="A30" s="16">
        <v>3.372868164E9</v>
      </c>
      <c r="B30" s="16">
        <v>10.0</v>
      </c>
    </row>
    <row r="31">
      <c r="A31" s="14">
        <v>1.644430081E9</v>
      </c>
      <c r="B31" s="14">
        <v>10.0</v>
      </c>
    </row>
    <row r="32">
      <c r="A32" s="16">
        <v>6.11766616E9</v>
      </c>
      <c r="B32" s="16">
        <v>10.0</v>
      </c>
    </row>
    <row r="33">
      <c r="A33" s="14">
        <v>6.775888955E9</v>
      </c>
      <c r="B33" s="14">
        <v>9.0</v>
      </c>
    </row>
    <row r="34">
      <c r="A34" s="16">
        <v>6.391747486E9</v>
      </c>
      <c r="B34" s="16">
        <v>9.0</v>
      </c>
    </row>
    <row r="35">
      <c r="A35" s="14">
        <v>2.891001357E9</v>
      </c>
      <c r="B35" s="14">
        <v>8.0</v>
      </c>
    </row>
    <row r="36">
      <c r="A36" s="16">
        <v>8.583815059E9</v>
      </c>
      <c r="B36" s="16">
        <v>8.0</v>
      </c>
    </row>
    <row r="37">
      <c r="A37" s="14">
        <v>4.388161847E9</v>
      </c>
      <c r="B37" s="14">
        <v>8.0</v>
      </c>
    </row>
  </sheetData>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min="1" max="2" width="15.13"/>
  </cols>
  <sheetData>
    <row r="1" ht="36.0">
      <c r="A1" s="11" t="s">
        <v>79</v>
      </c>
    </row>
    <row r="2">
      <c r="A2" s="12" t="s">
        <v>80</v>
      </c>
      <c r="B2" s="12" t="s">
        <v>66</v>
      </c>
    </row>
    <row r="3">
      <c r="A3" s="14">
        <v>19.0</v>
      </c>
      <c r="B3" s="14">
        <v>528.88</v>
      </c>
    </row>
    <row r="4">
      <c r="A4" s="16">
        <v>12.0</v>
      </c>
      <c r="B4" s="16">
        <v>520.94</v>
      </c>
    </row>
    <row r="5">
      <c r="A5" s="14">
        <v>18.0</v>
      </c>
      <c r="B5" s="14">
        <v>505.65</v>
      </c>
    </row>
    <row r="6">
      <c r="A6" s="16">
        <v>14.0</v>
      </c>
      <c r="B6" s="16">
        <v>474.12</v>
      </c>
    </row>
    <row r="7">
      <c r="A7" s="14">
        <v>13.0</v>
      </c>
      <c r="B7" s="14">
        <v>457.88</v>
      </c>
    </row>
    <row r="8">
      <c r="A8" s="16">
        <v>17.0</v>
      </c>
      <c r="B8" s="16">
        <v>453.66</v>
      </c>
    </row>
    <row r="9">
      <c r="A9" s="14">
        <v>11.0</v>
      </c>
      <c r="B9" s="14">
        <v>452.75</v>
      </c>
    </row>
    <row r="10">
      <c r="A10" s="16">
        <v>16.0</v>
      </c>
      <c r="B10" s="16">
        <v>447.37</v>
      </c>
    </row>
    <row r="11">
      <c r="A11" s="14">
        <v>10.0</v>
      </c>
      <c r="B11" s="14">
        <v>437.0</v>
      </c>
    </row>
    <row r="12">
      <c r="A12" s="16">
        <v>9.0</v>
      </c>
      <c r="B12" s="16">
        <v>430.26</v>
      </c>
    </row>
    <row r="13">
      <c r="A13" s="14">
        <v>20.0</v>
      </c>
      <c r="B13" s="14">
        <v>399.32</v>
      </c>
    </row>
    <row r="14">
      <c r="A14" s="16">
        <v>15.0</v>
      </c>
      <c r="B14" s="16">
        <v>390.47</v>
      </c>
    </row>
    <row r="15">
      <c r="A15" s="14">
        <v>8.0</v>
      </c>
      <c r="B15" s="14">
        <v>365.6</v>
      </c>
    </row>
    <row r="16">
      <c r="A16" s="16">
        <v>7.0</v>
      </c>
      <c r="B16" s="16">
        <v>267.12</v>
      </c>
    </row>
    <row r="17">
      <c r="A17" s="14">
        <v>21.0</v>
      </c>
      <c r="B17" s="14">
        <v>261.01</v>
      </c>
    </row>
    <row r="18">
      <c r="A18" s="16">
        <v>22.0</v>
      </c>
      <c r="B18" s="16">
        <v>172.98</v>
      </c>
    </row>
    <row r="19">
      <c r="A19" s="14">
        <v>6.0</v>
      </c>
      <c r="B19" s="14">
        <v>120.16</v>
      </c>
    </row>
    <row r="20">
      <c r="A20" s="16">
        <v>23.0</v>
      </c>
      <c r="B20" s="16">
        <v>102.9</v>
      </c>
    </row>
    <row r="21">
      <c r="A21" s="14">
        <v>0.0</v>
      </c>
      <c r="B21" s="14">
        <v>44.42</v>
      </c>
    </row>
    <row r="22">
      <c r="A22" s="16">
        <v>5.0</v>
      </c>
      <c r="B22" s="16">
        <v>26.11</v>
      </c>
    </row>
    <row r="23">
      <c r="A23" s="14">
        <v>1.0</v>
      </c>
      <c r="B23" s="14">
        <v>20.48</v>
      </c>
    </row>
    <row r="24">
      <c r="A24" s="16">
        <v>2.0</v>
      </c>
      <c r="B24" s="16">
        <v>10.59</v>
      </c>
    </row>
    <row r="25">
      <c r="A25" s="14">
        <v>4.0</v>
      </c>
      <c r="B25" s="14">
        <v>9.76</v>
      </c>
    </row>
    <row r="26">
      <c r="A26" s="16">
        <v>3.0</v>
      </c>
      <c r="B26" s="16">
        <v>7.31</v>
      </c>
    </row>
  </sheetData>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s>
  <sheetData>
    <row r="1" ht="22.5" customHeight="1">
      <c r="A1" s="8" t="s">
        <v>81</v>
      </c>
      <c r="B1" s="8" t="s">
        <v>63</v>
      </c>
    </row>
    <row r="2" ht="22.5" customHeight="1">
      <c r="A2" s="9" t="s">
        <v>82</v>
      </c>
      <c r="B2" s="9">
        <v>3.72</v>
      </c>
    </row>
    <row r="3" ht="22.5" customHeight="1">
      <c r="A3" s="9" t="s">
        <v>83</v>
      </c>
      <c r="B3" s="9">
        <v>4.03</v>
      </c>
    </row>
    <row r="4" ht="22.5" customHeight="1">
      <c r="A4" s="9" t="s">
        <v>84</v>
      </c>
      <c r="B4" s="9">
        <v>91.24</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s>
  <sheetData>
    <row r="1" ht="22.5" customHeight="1">
      <c r="A1" s="8" t="s">
        <v>81</v>
      </c>
      <c r="B1" s="8" t="s">
        <v>63</v>
      </c>
    </row>
    <row r="2" ht="22.5" customHeight="1">
      <c r="A2" s="9" t="s">
        <v>85</v>
      </c>
      <c r="B2" s="9">
        <v>-0.11</v>
      </c>
    </row>
    <row r="3" ht="22.5" customHeight="1">
      <c r="A3" s="9" t="s">
        <v>86</v>
      </c>
      <c r="B3" s="9">
        <v>0.06</v>
      </c>
    </row>
    <row r="4" ht="22.5" customHeight="1">
      <c r="A4" s="9" t="s">
        <v>87</v>
      </c>
      <c r="B4" s="9">
        <v>-0.19</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min="1" max="1" width="15.13"/>
    <col customWidth="1" min="2" max="2" width="12.75"/>
    <col customWidth="1" min="3" max="3" width="18.38"/>
    <col customWidth="1" min="4" max="4" width="21.88"/>
  </cols>
  <sheetData>
    <row r="1" ht="36.0">
      <c r="A1" s="11" t="s">
        <v>88</v>
      </c>
    </row>
    <row r="2">
      <c r="A2" s="12" t="s">
        <v>89</v>
      </c>
      <c r="B2" s="12" t="s">
        <v>66</v>
      </c>
      <c r="C2" s="12" t="s">
        <v>90</v>
      </c>
      <c r="D2" s="12" t="s">
        <v>91</v>
      </c>
    </row>
    <row r="3">
      <c r="A3" s="13" t="s">
        <v>92</v>
      </c>
      <c r="B3" s="14">
        <v>7118.59</v>
      </c>
      <c r="C3" s="14">
        <v>18.96</v>
      </c>
      <c r="D3" s="14">
        <v>1032.85</v>
      </c>
    </row>
    <row r="4">
      <c r="A4" s="15" t="s">
        <v>93</v>
      </c>
      <c r="B4" s="16">
        <v>4914.92</v>
      </c>
      <c r="C4" s="16">
        <v>13.15</v>
      </c>
      <c r="D4" s="16">
        <v>850.25</v>
      </c>
    </row>
    <row r="5">
      <c r="A5" s="13" t="s">
        <v>94</v>
      </c>
      <c r="B5" s="14">
        <v>7510.71</v>
      </c>
      <c r="C5" s="14">
        <v>16.98</v>
      </c>
      <c r="D5" s="14">
        <v>1011.06</v>
      </c>
    </row>
    <row r="6">
      <c r="A6" s="15" t="s">
        <v>95</v>
      </c>
      <c r="B6" s="16">
        <v>6847.08</v>
      </c>
      <c r="C6" s="16">
        <v>17.44</v>
      </c>
      <c r="D6" s="16">
        <v>1055.06</v>
      </c>
    </row>
    <row r="7">
      <c r="A7" s="13" t="s">
        <v>96</v>
      </c>
      <c r="B7" s="14">
        <v>6737.56</v>
      </c>
      <c r="C7" s="14">
        <v>16.0</v>
      </c>
      <c r="D7" s="14">
        <v>1054.71</v>
      </c>
    </row>
    <row r="8">
      <c r="A8" s="15" t="s">
        <v>97</v>
      </c>
      <c r="B8" s="16">
        <v>7089.77</v>
      </c>
      <c r="C8" s="16">
        <v>18.97</v>
      </c>
      <c r="D8" s="16">
        <v>976.63</v>
      </c>
    </row>
    <row r="9">
      <c r="A9" s="13" t="s">
        <v>98</v>
      </c>
      <c r="B9" s="14">
        <v>6058.01</v>
      </c>
      <c r="C9" s="14">
        <v>15.35</v>
      </c>
      <c r="D9" s="14">
        <v>1015.65</v>
      </c>
    </row>
  </sheetData>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min="1" max="2" width="15.13"/>
  </cols>
  <sheetData>
    <row r="1" ht="36.0">
      <c r="A1" s="11" t="s">
        <v>99</v>
      </c>
    </row>
    <row r="2">
      <c r="A2" s="12" t="s">
        <v>100</v>
      </c>
      <c r="B2" s="12" t="s">
        <v>101</v>
      </c>
    </row>
    <row r="3">
      <c r="A3" s="13" t="s">
        <v>102</v>
      </c>
      <c r="B3" s="14">
        <v>133.0</v>
      </c>
    </row>
    <row r="4">
      <c r="A4" s="15" t="s">
        <v>103</v>
      </c>
      <c r="B4" s="16">
        <v>127.0</v>
      </c>
    </row>
    <row r="5">
      <c r="A5" s="13" t="s">
        <v>104</v>
      </c>
      <c r="B5" s="14">
        <v>197.0</v>
      </c>
    </row>
  </sheetData>
</worksheet>
</file>